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 Projects\EduFlowAI\docs\"/>
    </mc:Choice>
  </mc:AlternateContent>
  <xr:revisionPtr revIDLastSave="0" documentId="13_ncr:1_{906CF3B7-43CD-4030-8E9F-0E87571E34F3}" xr6:coauthVersionLast="47" xr6:coauthVersionMax="47" xr10:uidLastSave="{00000000-0000-0000-0000-000000000000}"/>
  <bookViews>
    <workbookView xWindow="-108" yWindow="-108" windowWidth="23256" windowHeight="12456" activeTab="4" xr2:uid="{92BD4C14-6350-41A2-989D-BE19952A9F2F}"/>
  </bookViews>
  <sheets>
    <sheet name="Overview" sheetId="1" r:id="rId1"/>
    <sheet name="Features" sheetId="2" r:id="rId2"/>
    <sheet name="Open Questions" sheetId="4" r:id="rId3"/>
    <sheet name="Color Theme " sheetId="6" r:id="rId4"/>
    <sheet name="EduFlow TimeLine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5" l="1"/>
  <c r="M9" i="5"/>
  <c r="M8" i="5"/>
  <c r="M7" i="5"/>
  <c r="M6" i="5"/>
</calcChain>
</file>

<file path=xl/sharedStrings.xml><?xml version="1.0" encoding="utf-8"?>
<sst xmlns="http://schemas.openxmlformats.org/spreadsheetml/2006/main" count="205" uniqueCount="135">
  <si>
    <t>EduFlow AI</t>
  </si>
  <si>
    <t>Field</t>
  </si>
  <si>
    <t>Value</t>
  </si>
  <si>
    <t>Project Name</t>
  </si>
  <si>
    <t>Type</t>
  </si>
  <si>
    <t>Intelligent Study Planning Platform</t>
  </si>
  <si>
    <t>Frontend</t>
  </si>
  <si>
    <t>React</t>
  </si>
  <si>
    <t>Backend</t>
  </si>
  <si>
    <t>ASP.NET Core 8</t>
  </si>
  <si>
    <t>Database</t>
  </si>
  <si>
    <t>Hosting</t>
  </si>
  <si>
    <t>Azure</t>
  </si>
  <si>
    <t>Status</t>
  </si>
  <si>
    <t>R&amp;D Phase</t>
  </si>
  <si>
    <t>Duration</t>
  </si>
  <si>
    <t>SQL Server 2022, Mongo DB</t>
  </si>
  <si>
    <t xml:space="preserve">Features </t>
  </si>
  <si>
    <t xml:space="preserve">Status </t>
  </si>
  <si>
    <t xml:space="preserve">EduFlow AI </t>
  </si>
  <si>
    <t xml:space="preserve">Phases </t>
  </si>
  <si>
    <t>Authentication</t>
  </si>
  <si>
    <t>User Profile</t>
  </si>
  <si>
    <t>Goal Management</t>
  </si>
  <si>
    <t>Task Management</t>
  </si>
  <si>
    <t xml:space="preserve">Schedule Generator </t>
  </si>
  <si>
    <t>Dashboard</t>
  </si>
  <si>
    <t>Calender</t>
  </si>
  <si>
    <t xml:space="preserve">Progress Tracking </t>
  </si>
  <si>
    <t xml:space="preserve">Rescheduling </t>
  </si>
  <si>
    <t xml:space="preserve">AI RoadMap </t>
  </si>
  <si>
    <t>AI Recommendations</t>
  </si>
  <si>
    <t>Google Calender Sync</t>
  </si>
  <si>
    <t>Planner Engine V1 - V4</t>
  </si>
  <si>
    <t>Phase 1</t>
  </si>
  <si>
    <t>Phase 2</t>
  </si>
  <si>
    <t>Planned</t>
  </si>
  <si>
    <t>Research</t>
  </si>
  <si>
    <t>Not Started</t>
  </si>
  <si>
    <t>3 Months</t>
  </si>
  <si>
    <t>Question</t>
  </si>
  <si>
    <t>Priority</t>
  </si>
  <si>
    <t>How should planner calculate priority?</t>
  </si>
  <si>
    <t>High</t>
  </si>
  <si>
    <t>Should estimated hours be mandatory?</t>
  </si>
  <si>
    <t>Which scheduling algorithm to use?</t>
  </si>
  <si>
    <t>How should missed tasks be handled?</t>
  </si>
  <si>
    <t>How should AI estimate study effort?</t>
  </si>
  <si>
    <t>Medium</t>
  </si>
  <si>
    <t>How should Google Calendar integration work?</t>
  </si>
  <si>
    <t>Low</t>
  </si>
  <si>
    <t xml:space="preserve">Doubts </t>
  </si>
  <si>
    <t>S.No</t>
  </si>
  <si>
    <t>Start Date</t>
  </si>
  <si>
    <t>Requirement Phase</t>
  </si>
  <si>
    <t xml:space="preserve">EduFlow AI TimeLine </t>
  </si>
  <si>
    <t>Database Design</t>
  </si>
  <si>
    <t>Purpose</t>
  </si>
  <si>
    <t>Color</t>
  </si>
  <si>
    <t>Hex</t>
  </si>
  <si>
    <t>Primary</t>
  </si>
  <si>
    <t>Indigo</t>
  </si>
  <si>
    <t>#4F46E5</t>
  </si>
  <si>
    <t>Secondary</t>
  </si>
  <si>
    <t>Cyan</t>
  </si>
  <si>
    <t>#06B6D4</t>
  </si>
  <si>
    <t>Success</t>
  </si>
  <si>
    <t>Green</t>
  </si>
  <si>
    <t>#22C55E</t>
  </si>
  <si>
    <t>Warning</t>
  </si>
  <si>
    <t>Amber</t>
  </si>
  <si>
    <t>#F59E0B</t>
  </si>
  <si>
    <t>Background</t>
  </si>
  <si>
    <t>Light Gray</t>
  </si>
  <si>
    <t>#F8FAFC</t>
  </si>
  <si>
    <t>Text</t>
  </si>
  <si>
    <t>Dark Slate</t>
  </si>
  <si>
    <t>#0F172A</t>
  </si>
  <si>
    <t>Completed</t>
  </si>
  <si>
    <t>In Progress</t>
  </si>
  <si>
    <t>Blocked</t>
  </si>
  <si>
    <t>Red</t>
  </si>
  <si>
    <t>Element</t>
  </si>
  <si>
    <t>Cover Title</t>
  </si>
  <si>
    <t>Main Headings (H1)</t>
  </si>
  <si>
    <t>Sub Headings (H2)</t>
  </si>
  <si>
    <t>Normal Text</t>
  </si>
  <si>
    <t>Table Headers</t>
  </si>
  <si>
    <t>Table Header Text</t>
  </si>
  <si>
    <t>White</t>
  </si>
  <si>
    <t>#FFFFFF</t>
  </si>
  <si>
    <t>Table Borders</t>
  </si>
  <si>
    <t>Gray</t>
  </si>
  <si>
    <t>#CBD5E1</t>
  </si>
  <si>
    <t>Notes / Future Enhancements</t>
  </si>
  <si>
    <t>Page Background</t>
  </si>
  <si>
    <t>Primary Heading      : #4F46E5</t>
  </si>
  <si>
    <t>Sub Heading          : #06B6D4</t>
  </si>
  <si>
    <t>Body Text            : #0F172A</t>
  </si>
  <si>
    <t>Table Header         : #4F46E5</t>
  </si>
  <si>
    <t>Table Border         : #CBD5E1</t>
  </si>
  <si>
    <t>Future Enhancements  : #F59E0B</t>
  </si>
  <si>
    <t>Background           : #FFFFFF</t>
  </si>
  <si>
    <t xml:space="preserve">EduFlow AI Phase 1 TimeLine </t>
  </si>
  <si>
    <t>Task</t>
  </si>
  <si>
    <t>Phase</t>
  </si>
  <si>
    <t>End Date</t>
  </si>
  <si>
    <t>Creating Functional Requirements for the Project</t>
  </si>
  <si>
    <t>Rough Sketching of the Project Workflow</t>
  </si>
  <si>
    <t>Database Structure Design</t>
  </si>
  <si>
    <t>UI / UX Design using Google Stitch and Figma</t>
  </si>
  <si>
    <t>Designing Phase</t>
  </si>
  <si>
    <t>Frontend Project Setup (React + Routing)</t>
  </si>
  <si>
    <t>Frontend Development</t>
  </si>
  <si>
    <t>Authentication Screens (Login, Register, Forgot Password)</t>
  </si>
  <si>
    <t>Dashboard, Goals, Tasks and Analytics UI</t>
  </si>
  <si>
    <t>Profile Management and Calendar View UI</t>
  </si>
  <si>
    <t>Backend Development</t>
  </si>
  <si>
    <t>Authentication APIs (Login, Register, Forgot Password)</t>
  </si>
  <si>
    <t>Goal Management, Task Management and User Profile APIs</t>
  </si>
  <si>
    <t>Planner Engine V1 and Schedule Generation</t>
  </si>
  <si>
    <t>Core Development</t>
  </si>
  <si>
    <t>Dashboard Integration and Calendar Integration</t>
  </si>
  <si>
    <t>Integration Phase</t>
  </si>
  <si>
    <t>Testing and Bug Fixing</t>
  </si>
  <si>
    <t>Testing Phase</t>
  </si>
  <si>
    <t>Total Tasks</t>
  </si>
  <si>
    <t>Completion %</t>
  </si>
  <si>
    <t>Comments</t>
  </si>
  <si>
    <t xml:space="preserve">The Function Requirement 
is been documented for the phase 1 only </t>
  </si>
  <si>
    <t xml:space="preserve">DB setup </t>
  </si>
  <si>
    <t>Backend Project Setup (.NET Core 10, Architecture)</t>
  </si>
  <si>
    <t>AI Phase</t>
  </si>
  <si>
    <t>AI - Implementation of EduFlow AI and integration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</si>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</sst>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06B6D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/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10" borderId="3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9" fontId="1" fillId="9" borderId="3" xfId="0" applyNumberFormat="1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1" fillId="5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7"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7030A0"/>
        </patternFill>
      </fill>
    </dxf>
    <dxf>
      <font>
        <b/>
        <i val="0"/>
      </font>
      <fill>
        <patternFill>
          <bgColor rgb="FF00FFFF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FF"/>
      <color rgb="FFFEF3C7"/>
      <color rgb="FFF59E0B"/>
      <color rgb="FF06B6D4"/>
      <color rgb="FF4F46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2512-BC7E-4EBC-96E2-ED82A59FCED7}">
  <dimension ref="G8:H16"/>
  <sheetViews>
    <sheetView topLeftCell="A13" workbookViewId="0">
      <selection activeCell="F41" sqref="F41"/>
    </sheetView>
  </sheetViews>
  <sheetFormatPr defaultRowHeight="14.4" x14ac:dyDescent="0.3"/>
  <cols>
    <col min="1" max="1" width="12.109375" bestFit="1" customWidth="1"/>
    <col min="2" max="2" width="29.21875" bestFit="1" customWidth="1"/>
    <col min="7" max="7" width="12.109375" bestFit="1" customWidth="1"/>
    <col min="8" max="8" width="29.21875" bestFit="1" customWidth="1"/>
  </cols>
  <sheetData>
    <row r="8" spans="7:8" x14ac:dyDescent="0.3">
      <c r="G8" s="2" t="s">
        <v>1</v>
      </c>
      <c r="H8" s="2" t="s">
        <v>2</v>
      </c>
    </row>
    <row r="9" spans="7:8" x14ac:dyDescent="0.3">
      <c r="G9" s="1" t="s">
        <v>3</v>
      </c>
      <c r="H9" s="1" t="s">
        <v>0</v>
      </c>
    </row>
    <row r="10" spans="7:8" x14ac:dyDescent="0.3">
      <c r="G10" s="1" t="s">
        <v>4</v>
      </c>
      <c r="H10" s="1" t="s">
        <v>5</v>
      </c>
    </row>
    <row r="11" spans="7:8" x14ac:dyDescent="0.3">
      <c r="G11" s="1" t="s">
        <v>6</v>
      </c>
      <c r="H11" s="1" t="s">
        <v>7</v>
      </c>
    </row>
    <row r="12" spans="7:8" x14ac:dyDescent="0.3">
      <c r="G12" s="1" t="s">
        <v>8</v>
      </c>
      <c r="H12" s="1" t="s">
        <v>9</v>
      </c>
    </row>
    <row r="13" spans="7:8" x14ac:dyDescent="0.3">
      <c r="G13" s="1" t="s">
        <v>10</v>
      </c>
      <c r="H13" s="1" t="s">
        <v>16</v>
      </c>
    </row>
    <row r="14" spans="7:8" x14ac:dyDescent="0.3">
      <c r="G14" s="1" t="s">
        <v>11</v>
      </c>
      <c r="H14" s="1" t="s">
        <v>12</v>
      </c>
    </row>
    <row r="15" spans="7:8" x14ac:dyDescent="0.3">
      <c r="G15" s="1" t="s">
        <v>13</v>
      </c>
      <c r="H15" s="1" t="s">
        <v>14</v>
      </c>
    </row>
    <row r="16" spans="7:8" x14ac:dyDescent="0.3">
      <c r="G16" s="1" t="s">
        <v>15</v>
      </c>
      <c r="H16" s="1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5488-511C-46DA-B13B-8E80D9A5D079}">
  <dimension ref="A1:H16"/>
  <sheetViews>
    <sheetView topLeftCell="A10" workbookViewId="0">
      <selection activeCell="D19" sqref="D19"/>
    </sheetView>
  </sheetViews>
  <sheetFormatPr defaultRowHeight="14.4" x14ac:dyDescent="0.3"/>
  <cols>
    <col min="1" max="1" width="19.33203125" bestFit="1" customWidth="1"/>
    <col min="3" max="3" width="10.44140625" bestFit="1" customWidth="1"/>
  </cols>
  <sheetData>
    <row r="1" spans="1:8" x14ac:dyDescent="0.3">
      <c r="A1" s="20" t="s">
        <v>19</v>
      </c>
      <c r="B1" s="20"/>
      <c r="C1" s="20"/>
      <c r="D1" s="20"/>
      <c r="E1" s="20"/>
      <c r="F1" s="20"/>
      <c r="G1" s="20"/>
      <c r="H1" s="20"/>
    </row>
    <row r="3" spans="1:8" x14ac:dyDescent="0.3">
      <c r="A3" s="4" t="s">
        <v>17</v>
      </c>
      <c r="B3" s="4" t="s">
        <v>20</v>
      </c>
      <c r="C3" s="4" t="s">
        <v>18</v>
      </c>
    </row>
    <row r="4" spans="1:8" x14ac:dyDescent="0.3">
      <c r="A4" s="3" t="s">
        <v>21</v>
      </c>
      <c r="B4" s="3" t="s">
        <v>34</v>
      </c>
      <c r="C4" s="3" t="s">
        <v>36</v>
      </c>
    </row>
    <row r="5" spans="1:8" x14ac:dyDescent="0.3">
      <c r="A5" s="3" t="s">
        <v>22</v>
      </c>
      <c r="B5" s="3" t="s">
        <v>34</v>
      </c>
      <c r="C5" s="3" t="s">
        <v>36</v>
      </c>
    </row>
    <row r="6" spans="1:8" x14ac:dyDescent="0.3">
      <c r="A6" s="3" t="s">
        <v>23</v>
      </c>
      <c r="B6" s="3" t="s">
        <v>34</v>
      </c>
      <c r="C6" s="3" t="s">
        <v>36</v>
      </c>
    </row>
    <row r="7" spans="1:8" x14ac:dyDescent="0.3">
      <c r="A7" s="3" t="s">
        <v>24</v>
      </c>
      <c r="B7" s="3" t="s">
        <v>34</v>
      </c>
      <c r="C7" s="3" t="s">
        <v>36</v>
      </c>
    </row>
    <row r="8" spans="1:8" x14ac:dyDescent="0.3">
      <c r="A8" s="3" t="s">
        <v>33</v>
      </c>
      <c r="B8" s="3" t="s">
        <v>34</v>
      </c>
      <c r="C8" s="3" t="s">
        <v>37</v>
      </c>
    </row>
    <row r="9" spans="1:8" x14ac:dyDescent="0.3">
      <c r="A9" s="3" t="s">
        <v>25</v>
      </c>
      <c r="B9" s="3" t="s">
        <v>34</v>
      </c>
      <c r="C9" s="3" t="s">
        <v>37</v>
      </c>
    </row>
    <row r="10" spans="1:8" x14ac:dyDescent="0.3">
      <c r="A10" s="3" t="s">
        <v>26</v>
      </c>
      <c r="B10" s="3" t="s">
        <v>34</v>
      </c>
      <c r="C10" s="3" t="s">
        <v>37</v>
      </c>
    </row>
    <row r="11" spans="1:8" x14ac:dyDescent="0.3">
      <c r="A11" s="3" t="s">
        <v>27</v>
      </c>
      <c r="B11" s="3" t="s">
        <v>34</v>
      </c>
      <c r="C11" s="3" t="s">
        <v>36</v>
      </c>
    </row>
    <row r="12" spans="1:8" x14ac:dyDescent="0.3">
      <c r="A12" s="3" t="s">
        <v>28</v>
      </c>
      <c r="B12" s="3" t="s">
        <v>34</v>
      </c>
      <c r="C12" s="3" t="s">
        <v>36</v>
      </c>
    </row>
    <row r="13" spans="1:8" x14ac:dyDescent="0.3">
      <c r="A13" s="3" t="s">
        <v>29</v>
      </c>
      <c r="B13" s="3" t="s">
        <v>35</v>
      </c>
      <c r="C13" s="3" t="s">
        <v>38</v>
      </c>
    </row>
    <row r="14" spans="1:8" x14ac:dyDescent="0.3">
      <c r="A14" s="3" t="s">
        <v>30</v>
      </c>
      <c r="B14" s="3" t="s">
        <v>35</v>
      </c>
      <c r="C14" s="3" t="s">
        <v>38</v>
      </c>
    </row>
    <row r="15" spans="1:8" x14ac:dyDescent="0.3">
      <c r="A15" s="3" t="s">
        <v>31</v>
      </c>
      <c r="B15" s="3" t="s">
        <v>35</v>
      </c>
      <c r="C15" s="3" t="s">
        <v>38</v>
      </c>
    </row>
    <row r="16" spans="1:8" x14ac:dyDescent="0.3">
      <c r="A16" s="3" t="s">
        <v>32</v>
      </c>
      <c r="B16" s="3" t="s">
        <v>35</v>
      </c>
      <c r="C16" s="3" t="s">
        <v>38</v>
      </c>
    </row>
  </sheetData>
  <mergeCells count="1">
    <mergeCell ref="A1:H1"/>
  </mergeCells>
  <phoneticPr fontId="2" type="noConversion"/>
  <dataValidations count="2">
    <dataValidation type="list" allowBlank="1" showInputMessage="1" showErrorMessage="1" sqref="C3 C17:C43" xr:uid="{6E40FB78-4800-4B46-9F83-C88B80E0C711}">
      <formula1>"Not Started,Research,Planned,In Progress,Completed,Blocked"</formula1>
    </dataValidation>
    <dataValidation type="list" allowBlank="1" showInputMessage="1" showErrorMessage="1" sqref="C4:C16" xr:uid="{92263D6C-5586-49A7-8D4F-4E6C6F6EE6CA}">
      <formula1>"Not Started,Research,Started,Planned,In Progress,Completed,Blocked"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AB6F-A68C-4E67-B30D-714B7C7339B1}">
  <dimension ref="A1:B8"/>
  <sheetViews>
    <sheetView workbookViewId="0">
      <selection activeCell="F8" sqref="F8"/>
    </sheetView>
  </sheetViews>
  <sheetFormatPr defaultRowHeight="14.4" x14ac:dyDescent="0.3"/>
  <cols>
    <col min="1" max="1" width="40" bestFit="1" customWidth="1"/>
    <col min="2" max="2" width="7.6640625" bestFit="1" customWidth="1"/>
  </cols>
  <sheetData>
    <row r="1" spans="1:2" x14ac:dyDescent="0.3">
      <c r="A1" s="21" t="s">
        <v>51</v>
      </c>
      <c r="B1" s="21"/>
    </row>
    <row r="2" spans="1:2" x14ac:dyDescent="0.3">
      <c r="A2" s="6" t="s">
        <v>40</v>
      </c>
      <c r="B2" s="6" t="s">
        <v>41</v>
      </c>
    </row>
    <row r="3" spans="1:2" x14ac:dyDescent="0.3">
      <c r="A3" s="5" t="s">
        <v>42</v>
      </c>
      <c r="B3" s="5" t="s">
        <v>43</v>
      </c>
    </row>
    <row r="4" spans="1:2" x14ac:dyDescent="0.3">
      <c r="A4" s="5" t="s">
        <v>44</v>
      </c>
      <c r="B4" s="5" t="s">
        <v>43</v>
      </c>
    </row>
    <row r="5" spans="1:2" x14ac:dyDescent="0.3">
      <c r="A5" s="5" t="s">
        <v>45</v>
      </c>
      <c r="B5" s="5" t="s">
        <v>43</v>
      </c>
    </row>
    <row r="6" spans="1:2" x14ac:dyDescent="0.3">
      <c r="A6" s="5" t="s">
        <v>46</v>
      </c>
      <c r="B6" s="5" t="s">
        <v>43</v>
      </c>
    </row>
    <row r="7" spans="1:2" x14ac:dyDescent="0.3">
      <c r="A7" s="5" t="s">
        <v>47</v>
      </c>
      <c r="B7" s="5" t="s">
        <v>48</v>
      </c>
    </row>
    <row r="8" spans="1:2" x14ac:dyDescent="0.3">
      <c r="A8" s="5" t="s">
        <v>49</v>
      </c>
      <c r="B8" s="5" t="s">
        <v>50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154C-93DA-44CF-8778-E92970739FE3}">
  <dimension ref="A2:N11"/>
  <sheetViews>
    <sheetView workbookViewId="0">
      <selection activeCell="N2" sqref="N2"/>
    </sheetView>
  </sheetViews>
  <sheetFormatPr defaultRowHeight="14.4" x14ac:dyDescent="0.3"/>
  <cols>
    <col min="1" max="1" width="10.5546875" bestFit="1" customWidth="1"/>
    <col min="2" max="2" width="9.21875" bestFit="1" customWidth="1"/>
    <col min="3" max="3" width="8.33203125" bestFit="1" customWidth="1"/>
    <col min="6" max="6" width="10.44140625" bestFit="1" customWidth="1"/>
    <col min="10" max="10" width="25.5546875" bestFit="1" customWidth="1"/>
    <col min="11" max="11" width="9.21875" bestFit="1" customWidth="1"/>
    <col min="12" max="12" width="8.44140625" bestFit="1" customWidth="1"/>
    <col min="14" max="14" width="27.88671875" bestFit="1" customWidth="1"/>
  </cols>
  <sheetData>
    <row r="2" spans="1:14" x14ac:dyDescent="0.3">
      <c r="A2" s="8" t="s">
        <v>57</v>
      </c>
      <c r="B2" s="8" t="s">
        <v>58</v>
      </c>
      <c r="C2" s="8" t="s">
        <v>59</v>
      </c>
      <c r="F2" s="8" t="s">
        <v>13</v>
      </c>
      <c r="G2" s="8" t="s">
        <v>58</v>
      </c>
      <c r="J2" s="8" t="s">
        <v>82</v>
      </c>
      <c r="K2" s="8" t="s">
        <v>58</v>
      </c>
      <c r="L2" s="8" t="s">
        <v>59</v>
      </c>
      <c r="N2" s="3" t="s">
        <v>96</v>
      </c>
    </row>
    <row r="3" spans="1:14" x14ac:dyDescent="0.3">
      <c r="A3" s="5" t="s">
        <v>60</v>
      </c>
      <c r="B3" s="5" t="s">
        <v>61</v>
      </c>
      <c r="C3" s="5" t="s">
        <v>62</v>
      </c>
      <c r="F3" s="5" t="s">
        <v>78</v>
      </c>
      <c r="G3" s="5" t="s">
        <v>68</v>
      </c>
      <c r="J3" s="5" t="s">
        <v>83</v>
      </c>
      <c r="K3" s="5" t="s">
        <v>61</v>
      </c>
      <c r="L3" s="9" t="s">
        <v>62</v>
      </c>
      <c r="N3" s="3" t="s">
        <v>97</v>
      </c>
    </row>
    <row r="4" spans="1:14" x14ac:dyDescent="0.3">
      <c r="A4" s="5" t="s">
        <v>63</v>
      </c>
      <c r="B4" s="5" t="s">
        <v>64</v>
      </c>
      <c r="C4" s="5" t="s">
        <v>65</v>
      </c>
      <c r="F4" s="5" t="s">
        <v>79</v>
      </c>
      <c r="G4" s="5" t="s">
        <v>65</v>
      </c>
      <c r="J4" s="5" t="s">
        <v>84</v>
      </c>
      <c r="K4" s="5" t="s">
        <v>61</v>
      </c>
      <c r="L4" s="9" t="s">
        <v>62</v>
      </c>
      <c r="N4" s="3" t="s">
        <v>98</v>
      </c>
    </row>
    <row r="5" spans="1:14" x14ac:dyDescent="0.3">
      <c r="A5" s="5" t="s">
        <v>66</v>
      </c>
      <c r="B5" s="5" t="s">
        <v>67</v>
      </c>
      <c r="C5" s="5" t="s">
        <v>68</v>
      </c>
      <c r="F5" s="5" t="s">
        <v>37</v>
      </c>
      <c r="G5" s="5" t="s">
        <v>71</v>
      </c>
      <c r="J5" s="5" t="s">
        <v>85</v>
      </c>
      <c r="K5" s="5" t="s">
        <v>64</v>
      </c>
      <c r="L5" s="9" t="s">
        <v>65</v>
      </c>
      <c r="N5" s="3" t="s">
        <v>99</v>
      </c>
    </row>
    <row r="6" spans="1:14" x14ac:dyDescent="0.3">
      <c r="A6" s="5" t="s">
        <v>69</v>
      </c>
      <c r="B6" s="5" t="s">
        <v>70</v>
      </c>
      <c r="C6" s="5" t="s">
        <v>71</v>
      </c>
      <c r="F6" s="5" t="s">
        <v>38</v>
      </c>
      <c r="G6" s="5" t="s">
        <v>73</v>
      </c>
      <c r="J6" s="5" t="s">
        <v>86</v>
      </c>
      <c r="K6" s="5" t="s">
        <v>76</v>
      </c>
      <c r="L6" s="9" t="s">
        <v>77</v>
      </c>
      <c r="N6" s="3" t="s">
        <v>100</v>
      </c>
    </row>
    <row r="7" spans="1:14" x14ac:dyDescent="0.3">
      <c r="A7" s="5" t="s">
        <v>72</v>
      </c>
      <c r="B7" s="5" t="s">
        <v>73</v>
      </c>
      <c r="C7" s="5" t="s">
        <v>74</v>
      </c>
      <c r="F7" s="5" t="s">
        <v>80</v>
      </c>
      <c r="G7" s="5" t="s">
        <v>81</v>
      </c>
      <c r="J7" s="5" t="s">
        <v>87</v>
      </c>
      <c r="K7" s="5" t="s">
        <v>61</v>
      </c>
      <c r="L7" s="9" t="s">
        <v>62</v>
      </c>
      <c r="N7" s="3" t="s">
        <v>101</v>
      </c>
    </row>
    <row r="8" spans="1:14" x14ac:dyDescent="0.3">
      <c r="A8" s="5" t="s">
        <v>75</v>
      </c>
      <c r="B8" s="5" t="s">
        <v>76</v>
      </c>
      <c r="C8" s="5" t="s">
        <v>77</v>
      </c>
      <c r="J8" s="5" t="s">
        <v>88</v>
      </c>
      <c r="K8" s="5" t="s">
        <v>89</v>
      </c>
      <c r="L8" s="9" t="s">
        <v>90</v>
      </c>
      <c r="N8" s="3" t="s">
        <v>102</v>
      </c>
    </row>
    <row r="9" spans="1:14" x14ac:dyDescent="0.3">
      <c r="J9" s="5" t="s">
        <v>91</v>
      </c>
      <c r="K9" s="5" t="s">
        <v>92</v>
      </c>
      <c r="L9" s="9" t="s">
        <v>93</v>
      </c>
    </row>
    <row r="10" spans="1:14" x14ac:dyDescent="0.3">
      <c r="J10" s="5" t="s">
        <v>94</v>
      </c>
      <c r="K10" s="5" t="s">
        <v>70</v>
      </c>
      <c r="L10" s="9" t="s">
        <v>71</v>
      </c>
    </row>
    <row r="11" spans="1:14" x14ac:dyDescent="0.3">
      <c r="J11" s="5" t="s">
        <v>95</v>
      </c>
      <c r="K11" s="5" t="s">
        <v>89</v>
      </c>
      <c r="L11" s="9" t="s">
        <v>90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8FFB-371A-48FE-B0A8-736AABF270A1}">
  <dimension ref="A1:R22"/>
  <sheetViews>
    <sheetView tabSelected="1" topLeftCell="A13" zoomScaleNormal="100" workbookViewId="0">
      <selection activeCell="G27" sqref="G27"/>
    </sheetView>
  </sheetViews>
  <sheetFormatPr defaultRowHeight="14.4" x14ac:dyDescent="0.3"/>
  <cols>
    <col min="1" max="1" width="4.88671875" bestFit="1" customWidth="1"/>
    <col min="2" max="2" width="50.21875" bestFit="1" customWidth="1"/>
    <col min="3" max="3" width="19.88671875" bestFit="1" customWidth="1"/>
    <col min="4" max="5" width="12.21875" bestFit="1" customWidth="1"/>
    <col min="6" max="6" width="10.44140625" customWidth="1"/>
    <col min="7" max="7" width="23.6640625" bestFit="1" customWidth="1"/>
    <col min="8" max="8" width="12.6640625" bestFit="1" customWidth="1"/>
    <col min="9" max="9" width="7.6640625" customWidth="1"/>
    <col min="10" max="10" width="12.6640625" bestFit="1" customWidth="1"/>
    <col min="11" max="11" width="16.109375" customWidth="1"/>
    <col min="12" max="12" width="12.6640625" bestFit="1" customWidth="1"/>
  </cols>
  <sheetData>
    <row r="1" spans="1:18" x14ac:dyDescent="0.3">
      <c r="A1" s="18" t="s">
        <v>55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5" spans="1:18" ht="15" thickBot="1" x14ac:dyDescent="0.35">
      <c r="A5" s="19" t="s">
        <v>103</v>
      </c>
      <c r="B5" s="19"/>
      <c r="C5" s="19"/>
      <c r="D5" s="19"/>
      <c r="E5" s="19"/>
      <c r="F5" s="19"/>
      <c r="G5" s="19"/>
    </row>
    <row r="6" spans="1:18" ht="15" thickBot="1" x14ac:dyDescent="0.35">
      <c r="A6" s="6" t="s">
        <v>52</v>
      </c>
      <c r="B6" s="6" t="s">
        <v>104</v>
      </c>
      <c r="C6" s="6" t="s">
        <v>105</v>
      </c>
      <c r="D6" s="6" t="s">
        <v>53</v>
      </c>
      <c r="E6" s="6" t="s">
        <v>106</v>
      </c>
      <c r="F6" s="6" t="s">
        <v>13</v>
      </c>
      <c r="G6" s="6" t="s">
        <v>128</v>
      </c>
      <c r="J6" s="7"/>
      <c r="K6" s="7"/>
      <c r="L6" s="11" t="s">
        <v>126</v>
      </c>
      <c r="M6" s="12">
        <f>COUNTA(B7:B22)</f>
        <v>16</v>
      </c>
    </row>
    <row r="7" spans="1:18" ht="43.8" thickBot="1" x14ac:dyDescent="0.35">
      <c r="A7" s="5">
        <v>1</v>
      </c>
      <c r="B7" s="5" t="s">
        <v>107</v>
      </c>
      <c r="C7" s="5" t="s">
        <v>54</v>
      </c>
      <c r="D7" s="10">
        <v>46189</v>
      </c>
      <c r="E7" s="10">
        <v>46192</v>
      </c>
      <c r="F7" s="5" t="s">
        <v>78</v>
      </c>
      <c r="G7" s="17" t="s">
        <v>129</v>
      </c>
      <c r="L7" s="11" t="s">
        <v>78</v>
      </c>
      <c r="M7" s="13">
        <f>COUNTIF(F7:F22,"Completed")</f>
        <v>9</v>
      </c>
    </row>
    <row r="8" spans="1:18" ht="15" thickBot="1" x14ac:dyDescent="0.35">
      <c r="A8" s="5">
        <v>2</v>
      </c>
      <c r="B8" s="5" t="s">
        <v>108</v>
      </c>
      <c r="C8" s="5" t="s">
        <v>54</v>
      </c>
      <c r="D8" s="10">
        <v>46200</v>
      </c>
      <c r="E8" s="10">
        <v>46200</v>
      </c>
      <c r="F8" s="5" t="s">
        <v>78</v>
      </c>
      <c r="G8" s="3"/>
      <c r="L8" s="11" t="s">
        <v>79</v>
      </c>
      <c r="M8" s="14">
        <f>COUNTIF(F7:F22,"In Progress")</f>
        <v>2</v>
      </c>
    </row>
    <row r="9" spans="1:18" ht="15" thickBot="1" x14ac:dyDescent="0.35">
      <c r="A9" s="5">
        <v>3</v>
      </c>
      <c r="B9" s="5" t="s">
        <v>109</v>
      </c>
      <c r="C9" s="5" t="s">
        <v>56</v>
      </c>
      <c r="D9" s="10">
        <v>46194</v>
      </c>
      <c r="E9" s="10">
        <v>46195</v>
      </c>
      <c r="F9" s="5" t="s">
        <v>78</v>
      </c>
      <c r="G9" s="3"/>
      <c r="L9" s="11" t="s">
        <v>36</v>
      </c>
      <c r="M9" s="15">
        <f>COUNTIF(F7:F22,Planned)</f>
        <v>0</v>
      </c>
    </row>
    <row r="10" spans="1:18" ht="15" thickBot="1" x14ac:dyDescent="0.35">
      <c r="A10" s="5">
        <v>4</v>
      </c>
      <c r="B10" s="5" t="s">
        <v>110</v>
      </c>
      <c r="C10" s="5" t="s">
        <v>111</v>
      </c>
      <c r="D10" s="10">
        <v>46205</v>
      </c>
      <c r="E10" s="10">
        <v>46212</v>
      </c>
      <c r="F10" s="5" t="s">
        <v>79</v>
      </c>
      <c r="G10" s="3"/>
      <c r="L10" s="11" t="s">
        <v>127</v>
      </c>
      <c r="M10" s="16">
        <f>COUNTIF(F8:F23,"Completed")/COUNTA(B8:B23)</f>
        <v>0.53333333333333333</v>
      </c>
    </row>
    <row r="11" spans="1:18" x14ac:dyDescent="0.3">
      <c r="A11" s="5">
        <v>5</v>
      </c>
      <c r="B11" s="5" t="s">
        <v>130</v>
      </c>
      <c r="C11" s="5" t="s">
        <v>111</v>
      </c>
      <c r="D11" s="10">
        <v>46213</v>
      </c>
      <c r="E11" s="10">
        <v>46213</v>
      </c>
      <c r="F11" s="5" t="s">
        <v>78</v>
      </c>
      <c r="G11" s="3" t="s">
        <v>134</v>
      </c>
    </row>
    <row r="12" spans="1:18" x14ac:dyDescent="0.3">
      <c r="A12" s="5">
        <v>6</v>
      </c>
      <c r="B12" s="5" t="s">
        <v>112</v>
      </c>
      <c r="C12" s="5" t="s">
        <v>113</v>
      </c>
      <c r="D12" s="10">
        <v>46213</v>
      </c>
      <c r="E12" s="10">
        <v>46213</v>
      </c>
      <c r="F12" s="5" t="s">
        <v>78</v>
      </c>
      <c r="G12" s="3"/>
    </row>
    <row r="13" spans="1:18" x14ac:dyDescent="0.3">
      <c r="A13" s="5">
        <v>7</v>
      </c>
      <c r="B13" s="5" t="s">
        <v>114</v>
      </c>
      <c r="C13" s="5" t="s">
        <v>113</v>
      </c>
      <c r="D13" s="10">
        <v>46214</v>
      </c>
      <c r="E13" s="10">
        <v>46215</v>
      </c>
      <c r="F13" s="5" t="s">
        <v>78</v>
      </c>
      <c r="G13" s="3"/>
    </row>
    <row r="14" spans="1:18" x14ac:dyDescent="0.3">
      <c r="A14" s="5">
        <v>8</v>
      </c>
      <c r="B14" s="5" t="s">
        <v>115</v>
      </c>
      <c r="C14" s="5" t="s">
        <v>113</v>
      </c>
      <c r="D14" s="10">
        <v>46216</v>
      </c>
      <c r="E14" s="10">
        <v>46219</v>
      </c>
      <c r="F14" s="5" t="s">
        <v>79</v>
      </c>
      <c r="G14" s="3"/>
    </row>
    <row r="15" spans="1:18" x14ac:dyDescent="0.3">
      <c r="A15" s="5">
        <v>9</v>
      </c>
      <c r="B15" s="5" t="s">
        <v>116</v>
      </c>
      <c r="C15" s="5" t="s">
        <v>113</v>
      </c>
      <c r="D15" s="10">
        <v>46220</v>
      </c>
      <c r="E15" s="10">
        <v>46222</v>
      </c>
      <c r="F15" s="5" t="s">
        <v>78</v>
      </c>
      <c r="G15" s="3"/>
    </row>
    <row r="16" spans="1:18" x14ac:dyDescent="0.3">
      <c r="A16" s="5">
        <v>10</v>
      </c>
      <c r="B16" s="5" t="s">
        <v>131</v>
      </c>
      <c r="C16" s="5" t="s">
        <v>117</v>
      </c>
      <c r="D16" s="10">
        <v>46215</v>
      </c>
      <c r="E16" s="10">
        <v>46215</v>
      </c>
      <c r="F16" s="5" t="s">
        <v>78</v>
      </c>
      <c r="G16" s="3"/>
    </row>
    <row r="17" spans="1:7" x14ac:dyDescent="0.3">
      <c r="A17" s="5">
        <v>11</v>
      </c>
      <c r="B17" s="5" t="s">
        <v>118</v>
      </c>
      <c r="C17" s="5" t="s">
        <v>117</v>
      </c>
      <c r="D17" s="10">
        <v>46223</v>
      </c>
      <c r="E17" s="10">
        <v>46223</v>
      </c>
      <c r="F17" s="5" t="s">
        <v>78</v>
      </c>
      <c r="G17" s="3"/>
    </row>
    <row r="18" spans="1:7" x14ac:dyDescent="0.3">
      <c r="A18" s="5">
        <v>12</v>
      </c>
      <c r="B18" s="5" t="s">
        <v>119</v>
      </c>
      <c r="C18" s="5" t="s">
        <v>117</v>
      </c>
      <c r="D18" s="10">
        <v>46224</v>
      </c>
      <c r="E18" s="10">
        <v>46225</v>
      </c>
      <c r="F18" s="5"/>
      <c r="G18" s="3"/>
    </row>
    <row r="19" spans="1:7" x14ac:dyDescent="0.3">
      <c r="A19" s="5">
        <v>13</v>
      </c>
      <c r="B19" s="5" t="s">
        <v>120</v>
      </c>
      <c r="C19" s="5" t="s">
        <v>121</v>
      </c>
      <c r="D19" s="10">
        <v>46226</v>
      </c>
      <c r="E19" s="10">
        <v>46234</v>
      </c>
      <c r="F19" s="5"/>
      <c r="G19" s="3"/>
    </row>
    <row r="20" spans="1:7" x14ac:dyDescent="0.3">
      <c r="A20" s="5">
        <v>14</v>
      </c>
      <c r="B20" s="5" t="s">
        <v>122</v>
      </c>
      <c r="C20" s="5" t="s">
        <v>123</v>
      </c>
      <c r="D20" s="10">
        <v>46235</v>
      </c>
      <c r="E20" s="10">
        <v>46239</v>
      </c>
      <c r="F20" s="5"/>
      <c r="G20" s="3"/>
    </row>
    <row r="21" spans="1:7" x14ac:dyDescent="0.3">
      <c r="A21" s="5">
        <v>15</v>
      </c>
      <c r="B21" s="5" t="s">
        <v>133</v>
      </c>
      <c r="C21" s="5" t="s">
        <v>132</v>
      </c>
      <c r="D21" s="10">
        <v>46240</v>
      </c>
      <c r="E21" s="10">
        <v>46244</v>
      </c>
      <c r="F21" s="5"/>
      <c r="G21" s="3"/>
    </row>
    <row r="22" spans="1:7" x14ac:dyDescent="0.3">
      <c r="A22" s="5">
        <v>16</v>
      </c>
      <c r="B22" s="5" t="s">
        <v>124</v>
      </c>
      <c r="C22" s="5" t="s">
        <v>125</v>
      </c>
      <c r="D22" s="10">
        <v>46244</v>
      </c>
      <c r="E22" s="10">
        <v>46245</v>
      </c>
      <c r="F22" s="5"/>
      <c r="G22" s="3"/>
    </row>
  </sheetData>
  <mergeCells count="2">
    <mergeCell ref="A1:R1"/>
    <mergeCell ref="A5:G5"/>
  </mergeCells>
  <conditionalFormatting sqref="F7:F22">
    <cfRule type="cellIs" dxfId="6" priority="1" operator="equal">
      <formula>"Blocked"</formula>
    </cfRule>
    <cfRule type="cellIs" dxfId="5" priority="3" operator="equal">
      <formula>"Research"</formula>
    </cfRule>
    <cfRule type="cellIs" dxfId="4" priority="4" operator="equal">
      <formula>"Planned"</formula>
    </cfRule>
    <cfRule type="cellIs" dxfId="3" priority="5" operator="equal">
      <formula>"Started"</formula>
    </cfRule>
    <cfRule type="cellIs" dxfId="2" priority="6" operator="equal">
      <formula>"Not Started"</formula>
    </cfRule>
    <cfRule type="cellIs" dxfId="1" priority="7" operator="equal">
      <formula>"In Progress"</formula>
    </cfRule>
    <cfRule type="cellIs" dxfId="0" priority="8" operator="equal">
      <formula>"Completed"</formula>
    </cfRule>
  </conditionalFormatting>
  <dataValidations count="1">
    <dataValidation type="list" allowBlank="1" showInputMessage="1" showErrorMessage="1" sqref="F7:F22" xr:uid="{2BA7D6B5-8642-45FA-AE77-6AD981377E68}">
      <formula1>"Not Started,Started,Planned,In Progress,Research,Completed,Blocked"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Features</vt:lpstr>
      <vt:lpstr>Open Questions</vt:lpstr>
      <vt:lpstr>Color Theme </vt:lpstr>
      <vt:lpstr>EduFlow 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DHARSHAN MUTHUKUMAR</dc:creator>
  <cp:lastModifiedBy>DHARSHAN MUTHUKUMAR</cp:lastModifiedBy>
  <dcterms:created xsi:type="dcterms:W3CDTF">2026-06-15T15:30:17Z</dcterms:created>
  <dcterms:modified xsi:type="dcterms:W3CDTF">2026-08-03T19:32:04Z</dcterms:modified>
</cp:coreProperties>
</file>
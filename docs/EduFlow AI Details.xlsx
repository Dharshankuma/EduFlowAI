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6BB4F1AC-B61D-41EE-A3A3-2B41CE325563}" xr6:coauthVersionLast="47" xr6:coauthVersionMax="47" xr10:uidLastSave="{00000000-0000-0000-0000-000000000000}"/>
  <bookViews>
    <workbookView xWindow="-108" yWindow="-108" windowWidth="23256" windowHeight="12456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5" l="1"/>
  <c r="I10" i="5"/>
  <c r="I9" i="5"/>
  <c r="I8" i="5"/>
  <c r="I7" i="5"/>
</calcChain>
</file>

<file path=xl/sharedStrings.xml><?xml version="1.0" encoding="utf-8"?>
<sst xmlns="http://schemas.openxmlformats.org/spreadsheetml/2006/main" count="189" uniqueCount="130">
  <si>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</si>
  <si>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</si>
  <si>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</si>
  <si>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</si>
  <si>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</si>
  <si>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</si>
  <si>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</si>
  <si>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</si>
  <si>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</si>
  <si>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</si>
  <si>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</si>
  <si>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</si>
  <si>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</si>
  <si>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</si>
  <si>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</si>
  <si>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</si>
  <si>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</si>
  <si>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</si>
  <si>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</si>
  <si>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</si>
  <si>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</si>
  <si>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</si>
  <si>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</si>
  <si>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</si>
  <si>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</si>
  <si>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</si>
  <si>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</si>
  <si>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</si>
  <si>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</si>
  <si>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</si>
  <si>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</si>
  <si>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</si>
  <si>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</si>
  <si>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</si>
  <si>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</si>
  <si>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</si>
  <si>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</si>
  <si>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</si>
  <si>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</si>
  <si>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</si>
  <si>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</si>
  <si>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</si>
  <si>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</si>
  <si>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</si>
  <si>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</si>
  <si>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</si>
  <si>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</si>
  <si>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</si>
  <si>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</si>
  <si>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</si>
  <si>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</si>
  <si>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</si>
  <si>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</si>
  <si>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</si>
  <si>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</si>
  <si>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</si>
  <si>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</si>
  <si>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</si>
  <si>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</si>
  <si>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</si>
  <si>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</si>
  <si>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</si>
  <si>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</si>
  <si>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</si>
  <si>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</si>
  <si>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</si>
  <si>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</si>
  <si>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</si>
  <si>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</si>
  <si>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</si>
  <si>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</si>
  <si>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</si>
  <si>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</si>
  <si>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</si>
  <si>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</si>
  <si>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</si>
  <si>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</si>
  <si>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</si>
  <si>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</si>
  <si>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</si>
  <si>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</si>
  <si>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</si>
  <si>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</si>
  <si>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</si>
  <si>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</si>
  <si>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</si>
  <si>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</si>
  <si>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</si>
  <si>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</si>
  <si>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</si>
  <si>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</si>
  <si>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</si>
  <si>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</si>
  <si>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</si>
  <si>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</si>
  <si>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</si>
  <si>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</si>
  <si>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</si>
  <si>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</si>
  <si>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</si>
  <si>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</si>
  <si>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</si>
  <si>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</si>
  <si>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</si>
  <si>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</si>
  <si>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</si>
  <si>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</si>
  <si>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</si>
  <si>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</si>
  <si>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</si>
  <si>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</si>
  <si>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</si>
  <si>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Finalize the Project Design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</si>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</sst>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4" borderId="1" xfId="0" applyFont="1" applyFill="1" applyBorder="1" applyAlignment="1">
      <alignment horizont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workbookViewId="0">
      <selection activeCell="K17" sqref="K17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workbookViewId="0">
      <selection activeCell="A3" sqref="A3:C16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7" t="s">
        <v>19</v>
      </c>
      <c r="B1" s="7"/>
      <c r="C1" s="7"/>
      <c r="D1" s="7"/>
      <c r="E1" s="7"/>
      <c r="F1" s="7"/>
      <c r="G1" s="7"/>
      <c r="H1" s="7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8" t="s">
        <v>51</v>
      </c>
      <c r="B1" s="8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workbookViewId="0">
      <selection activeCell="N14" sqref="N14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11" t="s">
        <v>57</v>
      </c>
      <c r="B2" s="11" t="s">
        <v>58</v>
      </c>
      <c r="C2" s="11" t="s">
        <v>59</v>
      </c>
      <c r="F2" s="11" t="s">
        <v>13</v>
      </c>
      <c r="G2" s="11" t="s">
        <v>58</v>
      </c>
      <c r="J2" s="11" t="s">
        <v>82</v>
      </c>
      <c r="K2" s="11" t="s">
        <v>58</v>
      </c>
      <c r="L2" s="11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12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12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12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12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12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12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12" t="s">
        <v>93</v>
      </c>
    </row>
    <row r="10" spans="1:14" x14ac:dyDescent="0.3">
      <c r="J10" s="5" t="s">
        <v>94</v>
      </c>
      <c r="K10" s="5" t="s">
        <v>70</v>
      </c>
      <c r="L10" s="12" t="s">
        <v>71</v>
      </c>
    </row>
    <row r="11" spans="1:14" x14ac:dyDescent="0.3">
      <c r="J11" s="5" t="s">
        <v>95</v>
      </c>
      <c r="K11" s="5" t="s">
        <v>89</v>
      </c>
      <c r="L11" s="12" t="s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tabSelected="1" zoomScaleNormal="100" workbookViewId="0">
      <selection activeCell="J14" sqref="J14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9.8867187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</cols>
  <sheetData>
    <row r="1" spans="1:18" x14ac:dyDescent="0.3">
      <c r="A1" s="9" t="s">
        <v>55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5" spans="1:18" x14ac:dyDescent="0.3">
      <c r="A5" s="13" t="s">
        <v>103</v>
      </c>
      <c r="B5" s="13"/>
      <c r="C5" s="13"/>
      <c r="D5" s="13"/>
      <c r="E5" s="13"/>
      <c r="F5" s="13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J6" s="10"/>
      <c r="K6" s="10"/>
    </row>
    <row r="7" spans="1:18" ht="15" thickBot="1" x14ac:dyDescent="0.35">
      <c r="A7" s="5">
        <v>1</v>
      </c>
      <c r="B7" s="5" t="s">
        <v>107</v>
      </c>
      <c r="C7" s="5" t="s">
        <v>54</v>
      </c>
      <c r="D7" s="14">
        <v>46189</v>
      </c>
      <c r="E7" s="14">
        <v>46190</v>
      </c>
      <c r="F7" s="5"/>
      <c r="H7" s="15" t="s">
        <v>128</v>
      </c>
      <c r="I7" s="16">
        <f>COUNTA(B7:B21)</f>
        <v>15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4">
        <v>46191</v>
      </c>
      <c r="E8" s="14">
        <v>46191</v>
      </c>
      <c r="F8" s="5"/>
      <c r="H8" s="15" t="s">
        <v>78</v>
      </c>
      <c r="I8" s="17">
        <f>COUNTIF(F7:F21,"Completed")</f>
        <v>0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4">
        <v>46192</v>
      </c>
      <c r="E9" s="14">
        <v>46193</v>
      </c>
      <c r="F9" s="5"/>
      <c r="H9" s="15" t="s">
        <v>79</v>
      </c>
      <c r="I9" s="18">
        <f>COUNTIF(F7:F21,"In Progress")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4">
        <v>46193</v>
      </c>
      <c r="E10" s="14">
        <v>46200</v>
      </c>
      <c r="F10" s="5"/>
      <c r="H10" s="15" t="s">
        <v>36</v>
      </c>
      <c r="I10" s="19">
        <f>COUNTIF(F7:F21,Planned)</f>
        <v>0</v>
      </c>
    </row>
    <row r="11" spans="1:18" ht="15" thickBot="1" x14ac:dyDescent="0.35">
      <c r="A11" s="5">
        <v>5</v>
      </c>
      <c r="B11" s="5" t="s">
        <v>112</v>
      </c>
      <c r="C11" s="5" t="s">
        <v>111</v>
      </c>
      <c r="D11" s="14">
        <v>46201</v>
      </c>
      <c r="E11" s="14">
        <v>46202</v>
      </c>
      <c r="F11" s="5"/>
      <c r="H11" s="15" t="s">
        <v>129</v>
      </c>
      <c r="I11" s="20">
        <f>COUNTIF(F8:F22,"Completed")/COUNTA(B8:B22)</f>
        <v>0</v>
      </c>
    </row>
    <row r="12" spans="1:18" x14ac:dyDescent="0.3">
      <c r="A12" s="5">
        <v>6</v>
      </c>
      <c r="B12" s="5" t="s">
        <v>113</v>
      </c>
      <c r="C12" s="5" t="s">
        <v>114</v>
      </c>
      <c r="D12" s="14">
        <v>46203</v>
      </c>
      <c r="E12" s="14">
        <v>46203</v>
      </c>
      <c r="F12" s="5"/>
    </row>
    <row r="13" spans="1:18" x14ac:dyDescent="0.3">
      <c r="A13" s="5">
        <v>7</v>
      </c>
      <c r="B13" s="5" t="s">
        <v>115</v>
      </c>
      <c r="C13" s="5" t="s">
        <v>114</v>
      </c>
      <c r="D13" s="14">
        <v>46204</v>
      </c>
      <c r="E13" s="14">
        <v>46204</v>
      </c>
      <c r="F13" s="5"/>
    </row>
    <row r="14" spans="1:18" x14ac:dyDescent="0.3">
      <c r="A14" s="5">
        <v>8</v>
      </c>
      <c r="B14" s="5" t="s">
        <v>116</v>
      </c>
      <c r="C14" s="5" t="s">
        <v>114</v>
      </c>
      <c r="D14" s="14">
        <v>46205</v>
      </c>
      <c r="E14" s="14">
        <v>46206</v>
      </c>
      <c r="F14" s="5"/>
    </row>
    <row r="15" spans="1:18" x14ac:dyDescent="0.3">
      <c r="A15" s="5">
        <v>9</v>
      </c>
      <c r="B15" s="5" t="s">
        <v>117</v>
      </c>
      <c r="C15" s="5" t="s">
        <v>114</v>
      </c>
      <c r="D15" s="14">
        <v>46207</v>
      </c>
      <c r="E15" s="14">
        <v>46207</v>
      </c>
      <c r="F15" s="5"/>
    </row>
    <row r="16" spans="1:18" x14ac:dyDescent="0.3">
      <c r="A16" s="5">
        <v>10</v>
      </c>
      <c r="B16" s="5" t="s">
        <v>118</v>
      </c>
      <c r="C16" s="5" t="s">
        <v>119</v>
      </c>
      <c r="D16" s="14">
        <v>46208</v>
      </c>
      <c r="E16" s="14">
        <v>46208</v>
      </c>
      <c r="F16" s="5"/>
    </row>
    <row r="17" spans="1:6" x14ac:dyDescent="0.3">
      <c r="A17" s="5">
        <v>11</v>
      </c>
      <c r="B17" s="5" t="s">
        <v>120</v>
      </c>
      <c r="C17" s="5" t="s">
        <v>119</v>
      </c>
      <c r="D17" s="14">
        <v>46209</v>
      </c>
      <c r="E17" s="14">
        <v>46209</v>
      </c>
      <c r="F17" s="5"/>
    </row>
    <row r="18" spans="1:6" x14ac:dyDescent="0.3">
      <c r="A18" s="5">
        <v>12</v>
      </c>
      <c r="B18" s="5" t="s">
        <v>121</v>
      </c>
      <c r="C18" s="5" t="s">
        <v>119</v>
      </c>
      <c r="D18" s="14">
        <v>46210</v>
      </c>
      <c r="E18" s="14">
        <v>46211</v>
      </c>
      <c r="F18" s="5"/>
    </row>
    <row r="19" spans="1:6" x14ac:dyDescent="0.3">
      <c r="A19" s="5">
        <v>13</v>
      </c>
      <c r="B19" s="5" t="s">
        <v>122</v>
      </c>
      <c r="C19" s="5" t="s">
        <v>123</v>
      </c>
      <c r="D19" s="14">
        <v>46212</v>
      </c>
      <c r="E19" s="14">
        <v>46221</v>
      </c>
      <c r="F19" s="5"/>
    </row>
    <row r="20" spans="1:6" x14ac:dyDescent="0.3">
      <c r="A20" s="5">
        <v>14</v>
      </c>
      <c r="B20" s="5" t="s">
        <v>124</v>
      </c>
      <c r="C20" s="5" t="s">
        <v>125</v>
      </c>
      <c r="D20" s="14">
        <v>46222</v>
      </c>
      <c r="E20" s="14">
        <v>46223</v>
      </c>
      <c r="F20" s="5"/>
    </row>
    <row r="21" spans="1:6" x14ac:dyDescent="0.3">
      <c r="A21" s="5">
        <v>15</v>
      </c>
      <c r="B21" s="5" t="s">
        <v>126</v>
      </c>
      <c r="C21" s="5" t="s">
        <v>127</v>
      </c>
      <c r="D21" s="14">
        <v>46224</v>
      </c>
      <c r="E21" s="14">
        <v>46225</v>
      </c>
      <c r="F21" s="5"/>
    </row>
  </sheetData>
  <mergeCells count="2">
    <mergeCell ref="A1:R1"/>
    <mergeCell ref="A5:F5"/>
  </mergeCells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2026-06-16T19:11:27Z</dcterms:modified>
</cp:coreProperties>
</file>
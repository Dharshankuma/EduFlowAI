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3551790B-5B1D-422E-A81C-5E385B8594A2}" xr6:coauthVersionLast="47" xr6:coauthVersionMax="47" xr10:uidLastSave="{00000000-0000-0000-0000-000000000000}"/>
  <bookViews>
    <workbookView xWindow="-108" yWindow="-108" windowWidth="23256" windowHeight="1245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<sst xmlns="http://schemas.openxmlformats.org/spreadsheetml/2006/main" count="198" uniqueCount="133">
  <si>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</si>
  <si>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</si>
  <si>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</si>
  <si>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</si>
  <si>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</si>
  <si>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</si>
  <si>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</si>
  <si>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</si>
  <si>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</si>
  <si>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</si>
  <si>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</si>
  <si>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</si>
  <si>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</si>
  <si>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</si>
  <si>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</si>
  <si>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</si>
  <si>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</si>
  <si>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</si>
  <si>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</si>
  <si>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</si>
  <si>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</si>
  <si>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</si>
  <si>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</si>
  <si>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</si>
  <si>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</si>
  <si>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</si>
  <si>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</si>
  <si>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</si>
  <si>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</si>
  <si>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</si>
  <si>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</si>
  <si>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</si>
  <si>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</si>
  <si>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</si>
  <si>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</si>
  <si>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</si>
  <si>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</si>
  <si>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</si>
  <si>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</si>
  <si>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</si>
  <si>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</si>
  <si>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</si>
  <si>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</si>
  <si>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</si>
  <si>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</si>
  <si>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</si>
  <si>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</si>
  <si>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</si>
  <si>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</si>
  <si>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</si>
  <si>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</si>
  <si>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</si>
  <si>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</si>
  <si>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</si>
  <si>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</si>
  <si>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</si>
  <si>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</si>
  <si>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</si>
  <si>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</si>
  <si>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</si>
  <si>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</si>
  <si>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</si>
  <si>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</si>
  <si>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</si>
  <si>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</si>
  <si>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</si>
  <si>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</si>
  <si>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</si>
  <si>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</si>
  <si>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</si>
  <si>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</si>
  <si>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</si>
  <si>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</si>
  <si>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</si>
  <si>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</si>
  <si>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</si>
  <si>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</si>
  <si>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</si>
  <si>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</si>
  <si>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</si>
  <si>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</si>
  <si>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</si>
  <si>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</si>
  <si>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</si>
  <si>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</si>
  <si>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</si>
  <si>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</si>
  <si>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</si>
  <si>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</si>
  <si>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</si>
  <si>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</si>
  <si>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</si>
  <si>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</si>
  <si>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</si>
  <si>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</si>
  <si>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</si>
  <si>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</si>
  <si>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</si>
  <si>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</si>
  <si>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</si>
  <si>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</si>
  <si>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</si>
  <si>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</si>
  <si>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</si>
  <si>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</si>
  <si>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</si>
  <si>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</si>
  <si>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</si>
  <si>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</si>
  <si>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</si>
  <si>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</si>
  <si>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</si>
  <si>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</si>
  <si>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</si>
  <si>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</si>
  <si>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</si>
  <si>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</si>
  <si>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</si>
  <si>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</si>
  <si>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</si>
  <si>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</si>
  <si>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</si>
  <si>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</si>
  <si>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</si>
  <si>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</si>
  <si>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</si>
  <si>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</si>
  <si>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</si>
  <si>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</si>
  <si>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</si>
  <si>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</si>
  <si>
    <t xml:space="preserve">DB setup </t>
  </si>
  <si>
    <t>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</si>
</sst>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0" fillId="0" borderId="1" xfId="0" applyBorder="1" applyAlignment="1">
      <alignment wrapText="1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7"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topLeftCell="A13" workbookViewId="0">
      <selection activeCell="F41" sqref="F41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topLeftCell="A10" workbookViewId="0">
      <selection activeCell="D19" sqref="D19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20" t="s">
        <v>19</v>
      </c>
      <c r="B1" s="20"/>
      <c r="C1" s="20"/>
      <c r="D1" s="20"/>
      <c r="E1" s="20"/>
      <c r="F1" s="20"/>
      <c r="G1" s="20"/>
      <c r="H1" s="20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1" t="s">
        <v>51</v>
      </c>
      <c r="B1" s="21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workbookViewId="0">
      <selection activeCell="A2" sqref="A2:C8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zoomScaleNormal="100" workbookViewId="0">
      <selection activeCell="F28" sqref="F28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5" spans="1:18" ht="15" thickBot="1" x14ac:dyDescent="0.35">
      <c r="A5" s="19" t="s">
        <v>103</v>
      </c>
      <c r="B5" s="19"/>
      <c r="C5" s="19"/>
      <c r="D5" s="19"/>
      <c r="E5" s="19"/>
      <c r="F5" s="19"/>
      <c r="G5" s="19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129</v>
      </c>
      <c r="J6" s="7"/>
      <c r="K6" s="7"/>
      <c r="L6" s="11" t="s">
        <v>127</v>
      </c>
      <c r="M6" s="12">
        <f>COUNTA(B7:B21)</f>
        <v>15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17" t="s">
        <v>130</v>
      </c>
      <c r="L7" s="11" t="s">
        <v>78</v>
      </c>
      <c r="M7" s="13">
        <f>COUNTIF(F7:F21,"Completed")</f>
        <v>4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46200</v>
      </c>
      <c r="E8" s="10">
        <v>46200</v>
      </c>
      <c r="F8" s="5" t="s">
        <v>78</v>
      </c>
      <c r="G8" s="3"/>
      <c r="L8" s="11" t="s">
        <v>79</v>
      </c>
      <c r="M8" s="14">
        <f>COUNTIF(F7:F21,"In Progress")</f>
        <v>2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3"/>
      <c r="L9" s="11" t="s">
        <v>36</v>
      </c>
      <c r="M9" s="15">
        <f>COUNTIF(F7:F21,Planned)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46205</v>
      </c>
      <c r="E10" s="10">
        <v>46212</v>
      </c>
      <c r="F10" s="5" t="s">
        <v>79</v>
      </c>
      <c r="G10" s="3"/>
      <c r="L10" s="11" t="s">
        <v>128</v>
      </c>
      <c r="M10" s="16">
        <f>COUNTIF(F8:F22,"Completed")/COUNTA(B8:B22)</f>
        <v>0.21428571428571427</v>
      </c>
    </row>
    <row r="11" spans="1:18" x14ac:dyDescent="0.3">
      <c r="A11" s="5">
        <v>5</v>
      </c>
      <c r="B11" s="5" t="s">
        <v>131</v>
      </c>
      <c r="C11" s="5" t="s">
        <v>111</v>
      </c>
      <c r="D11" s="10">
        <v>46213</v>
      </c>
      <c r="E11" s="10">
        <v>46213</v>
      </c>
      <c r="F11" s="5" t="s">
        <v>79</v>
      </c>
      <c r="G11" s="3"/>
    </row>
    <row r="12" spans="1:18" x14ac:dyDescent="0.3">
      <c r="A12" s="5">
        <v>6</v>
      </c>
      <c r="B12" s="5" t="s">
        <v>112</v>
      </c>
      <c r="C12" s="5" t="s">
        <v>113</v>
      </c>
      <c r="D12" s="10">
        <v>46213</v>
      </c>
      <c r="E12" s="10">
        <v>46213</v>
      </c>
      <c r="F12" s="5" t="s">
        <v>78</v>
      </c>
      <c r="G12" s="3"/>
    </row>
    <row r="13" spans="1:18" x14ac:dyDescent="0.3">
      <c r="A13" s="5">
        <v>7</v>
      </c>
      <c r="B13" s="5" t="s">
        <v>114</v>
      </c>
      <c r="C13" s="5" t="s">
        <v>113</v>
      </c>
      <c r="D13" s="10">
        <v>46214</v>
      </c>
      <c r="E13" s="10">
        <v>46215</v>
      </c>
      <c r="F13" s="5" t="s">
        <v>132</v>
      </c>
      <c r="G13" s="3"/>
    </row>
    <row r="14" spans="1:18" x14ac:dyDescent="0.3">
      <c r="A14" s="5">
        <v>8</v>
      </c>
      <c r="B14" s="5" t="s">
        <v>115</v>
      </c>
      <c r="C14" s="5" t="s">
        <v>113</v>
      </c>
      <c r="D14" s="10">
        <v>46216</v>
      </c>
      <c r="E14" s="10">
        <v>46217</v>
      </c>
      <c r="F14" s="5"/>
      <c r="G14" s="3"/>
    </row>
    <row r="15" spans="1:18" x14ac:dyDescent="0.3">
      <c r="A15" s="5">
        <v>9</v>
      </c>
      <c r="B15" s="5" t="s">
        <v>116</v>
      </c>
      <c r="C15" s="5" t="s">
        <v>113</v>
      </c>
      <c r="D15" s="10">
        <v>46217</v>
      </c>
      <c r="E15" s="10">
        <v>46218</v>
      </c>
      <c r="F15" s="5"/>
      <c r="G15" s="3"/>
    </row>
    <row r="16" spans="1:18" x14ac:dyDescent="0.3">
      <c r="A16" s="5">
        <v>10</v>
      </c>
      <c r="B16" s="5" t="s">
        <v>117</v>
      </c>
      <c r="C16" s="5" t="s">
        <v>118</v>
      </c>
      <c r="D16" s="10">
        <v>46218</v>
      </c>
      <c r="E16" s="10">
        <v>46218</v>
      </c>
      <c r="F16" s="5"/>
      <c r="G16" s="3"/>
    </row>
    <row r="17" spans="1:7" x14ac:dyDescent="0.3">
      <c r="A17" s="5">
        <v>11</v>
      </c>
      <c r="B17" s="5" t="s">
        <v>119</v>
      </c>
      <c r="C17" s="5" t="s">
        <v>118</v>
      </c>
      <c r="D17" s="10">
        <v>46219</v>
      </c>
      <c r="E17" s="10">
        <v>46220</v>
      </c>
      <c r="F17" s="5"/>
      <c r="G17" s="3"/>
    </row>
    <row r="18" spans="1:7" x14ac:dyDescent="0.3">
      <c r="A18" s="5">
        <v>12</v>
      </c>
      <c r="B18" s="5" t="s">
        <v>120</v>
      </c>
      <c r="C18" s="5" t="s">
        <v>118</v>
      </c>
      <c r="D18" s="10">
        <v>46221</v>
      </c>
      <c r="E18" s="10">
        <v>46225</v>
      </c>
      <c r="F18" s="5"/>
      <c r="G18" s="3"/>
    </row>
    <row r="19" spans="1:7" x14ac:dyDescent="0.3">
      <c r="A19" s="5">
        <v>13</v>
      </c>
      <c r="B19" s="5" t="s">
        <v>121</v>
      </c>
      <c r="C19" s="5" t="s">
        <v>122</v>
      </c>
      <c r="D19" s="10">
        <v>46226</v>
      </c>
      <c r="E19" s="10">
        <v>46234</v>
      </c>
      <c r="F19" s="5"/>
      <c r="G19" s="3"/>
    </row>
    <row r="20" spans="1:7" x14ac:dyDescent="0.3">
      <c r="A20" s="5">
        <v>14</v>
      </c>
      <c r="B20" s="5" t="s">
        <v>123</v>
      </c>
      <c r="C20" s="5" t="s">
        <v>124</v>
      </c>
      <c r="D20" s="10">
        <v>46235</v>
      </c>
      <c r="E20" s="10">
        <v>46239</v>
      </c>
      <c r="F20" s="5"/>
      <c r="G20" s="3"/>
    </row>
    <row r="21" spans="1:7" x14ac:dyDescent="0.3">
      <c r="A21" s="5">
        <v>15</v>
      </c>
      <c r="B21" s="5" t="s">
        <v>125</v>
      </c>
      <c r="C21" s="5" t="s">
        <v>126</v>
      </c>
      <c r="D21" s="10">
        <v>46240</v>
      </c>
      <c r="E21" s="10">
        <v>46242</v>
      </c>
      <c r="F21" s="5"/>
      <c r="G21" s="3"/>
    </row>
  </sheetData>
  <mergeCells count="2">
    <mergeCell ref="A1:R1"/>
    <mergeCell ref="A5:G5"/>
  </mergeCells>
  <conditionalFormatting sqref="F7:F21">
    <cfRule type="cellIs" dxfId="6" priority="1" operator="equal">
      <formula>"Blocked"</formula>
    </cfRule>
    <cfRule type="cellIs" dxfId="5" priority="3" operator="equal">
      <formula>"Research"</formula>
    </cfRule>
    <cfRule type="cellIs" dxfId="4" priority="4" operator="equal">
      <formula>"Planned"</formula>
    </cfRule>
    <cfRule type="cellIs" dxfId="3" priority="5" operator="equal">
      <formula>"Started"</formula>
    </cfRule>
    <cfRule type="cellIs" dxfId="2" priority="6" operator="equal">
      <formula>"Not Started"</formula>
    </cfRule>
    <cfRule type="cellIs" dxfId="1" priority="7" operator="equal">
      <formula>"In Progress"</formula>
    </cfRule>
    <cfRule type="cellIs" dxfId="0" priority="8" operator="equal">
      <formula>"Completed"</formula>
    </cfRule>
  </conditionalFormatting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2026-07-11T19:32:00Z</dcterms:modified>
</cp:coreProperties>
</file>